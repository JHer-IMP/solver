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1_DB7F4876317743B26F18D97F49FE322B252C9464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车辆成本" sheetId="1" r:id="rId1"/>
    <sheet name="车辆托数信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B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5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货物高度不能超出出风口范围，货物出库必须由镂空的推盘。</t>
        </r>
      </text>
    </comment>
  </commentList>
</comments>
</file>

<file path=xl/sharedStrings.xml><?xml version="1.0" encoding="utf-8"?>
<sst xmlns="http://schemas.openxmlformats.org/spreadsheetml/2006/main" count="58" uniqueCount="56">
  <si>
    <t>车型</t>
  </si>
  <si>
    <t>报废补贴</t>
  </si>
  <si>
    <t>17L</t>
  </si>
  <si>
    <t>22L</t>
  </si>
  <si>
    <t>29L</t>
  </si>
  <si>
    <t>1.1元/公里</t>
    <phoneticPr fontId="1" type="noConversion"/>
  </si>
  <si>
    <t>1.5元/公里</t>
    <phoneticPr fontId="1" type="noConversion"/>
  </si>
  <si>
    <t>1.9元/公里</t>
    <phoneticPr fontId="1" type="noConversion"/>
  </si>
  <si>
    <t>车价（元）</t>
    <phoneticPr fontId="1" type="noConversion"/>
  </si>
  <si>
    <t>年保险（元）</t>
    <phoneticPr fontId="1" type="noConversion"/>
  </si>
  <si>
    <t>年审（元）</t>
    <phoneticPr fontId="1" type="noConversion"/>
  </si>
  <si>
    <t>道路运输年审（元）</t>
    <phoneticPr fontId="1" type="noConversion"/>
  </si>
  <si>
    <t>百公里油耗</t>
    <phoneticPr fontId="1" type="noConversion"/>
  </si>
  <si>
    <t>平均每公里路桥费（元）</t>
    <phoneticPr fontId="1" type="noConversion"/>
  </si>
  <si>
    <t>每天2人工（元）</t>
    <phoneticPr fontId="1" type="noConversion"/>
  </si>
  <si>
    <t>禁区违章每月计划（元）</t>
    <phoneticPr fontId="1" type="noConversion"/>
  </si>
  <si>
    <t>维保费用每月（元）</t>
    <phoneticPr fontId="1" type="noConversion"/>
  </si>
  <si>
    <t>油耗成本（元/公里）</t>
    <phoneticPr fontId="1" type="noConversion"/>
  </si>
  <si>
    <t>胎耗（元）</t>
    <phoneticPr fontId="1" type="noConversion"/>
  </si>
  <si>
    <t>冷藏车车型</t>
    <phoneticPr fontId="3" type="noConversion"/>
  </si>
  <si>
    <t>4.2米</t>
    <phoneticPr fontId="3" type="noConversion"/>
  </si>
  <si>
    <t>7.6米</t>
    <phoneticPr fontId="3" type="noConversion"/>
  </si>
  <si>
    <t>9.6米</t>
    <phoneticPr fontId="3" type="noConversion"/>
  </si>
  <si>
    <t>12.5米</t>
    <phoneticPr fontId="3" type="noConversion"/>
  </si>
  <si>
    <t>12.5M一般用于保温运输，冷藏（2-8℃）用前三种车型</t>
    <phoneticPr fontId="3" type="noConversion"/>
  </si>
  <si>
    <t>内尺寸（m）</t>
    <phoneticPr fontId="3" type="noConversion"/>
  </si>
  <si>
    <t>3.95*1.9*1.93</t>
    <phoneticPr fontId="3" type="noConversion"/>
  </si>
  <si>
    <t>7.345*2.250*2.37</t>
    <phoneticPr fontId="3" type="noConversion"/>
  </si>
  <si>
    <t>9.255*2.31*2.3</t>
    <phoneticPr fontId="3" type="noConversion"/>
  </si>
  <si>
    <t>11.8*2.3*2.4</t>
    <phoneticPr fontId="3" type="noConversion"/>
  </si>
  <si>
    <t>标准载重（T）</t>
    <phoneticPr fontId="3" type="noConversion"/>
  </si>
  <si>
    <t>可放托盘数（1.2*1m）</t>
    <phoneticPr fontId="3" type="noConversion"/>
  </si>
  <si>
    <t>容积（m³）</t>
    <phoneticPr fontId="3" type="noConversion"/>
  </si>
  <si>
    <t>建议最大单程里程（km）</t>
    <phoneticPr fontId="3" type="noConversion"/>
  </si>
  <si>
    <t>建议最长单程时限（h）</t>
    <phoneticPr fontId="3" type="noConversion"/>
  </si>
  <si>
    <t>建议计费最大重量（kg）</t>
    <phoneticPr fontId="3" type="noConversion"/>
  </si>
  <si>
    <t>建议计费最大容积（m³）</t>
    <phoneticPr fontId="3" type="noConversion"/>
  </si>
  <si>
    <t>常温车车型</t>
    <phoneticPr fontId="3" type="noConversion"/>
  </si>
  <si>
    <t>4.2米</t>
    <phoneticPr fontId="3" type="noConversion"/>
  </si>
  <si>
    <t>7.6米</t>
    <phoneticPr fontId="3" type="noConversion"/>
  </si>
  <si>
    <t>9.6米</t>
    <phoneticPr fontId="3" type="noConversion"/>
  </si>
  <si>
    <t>12.5米</t>
    <phoneticPr fontId="3" type="noConversion"/>
  </si>
  <si>
    <t>15米</t>
    <phoneticPr fontId="3" type="noConversion"/>
  </si>
  <si>
    <t>16米</t>
    <phoneticPr fontId="3" type="noConversion"/>
  </si>
  <si>
    <t>18米</t>
    <phoneticPr fontId="3" type="noConversion"/>
  </si>
  <si>
    <t>内尺寸（m）</t>
    <phoneticPr fontId="3" type="noConversion"/>
  </si>
  <si>
    <t>4.15*2.06*2</t>
    <phoneticPr fontId="3" type="noConversion"/>
  </si>
  <si>
    <t>7.55*2.4*2.4</t>
    <phoneticPr fontId="4" type="noConversion"/>
  </si>
  <si>
    <t>12.5*2.4*2.5</t>
    <phoneticPr fontId="4" type="noConversion"/>
  </si>
  <si>
    <t>15*2.4*2.6</t>
    <phoneticPr fontId="3" type="noConversion"/>
  </si>
  <si>
    <t>16*2.4*2.6</t>
    <phoneticPr fontId="3" type="noConversion"/>
  </si>
  <si>
    <t>18*2.5*2.8</t>
    <phoneticPr fontId="3" type="noConversion"/>
  </si>
  <si>
    <t>建议计费最大重量（kg）</t>
    <phoneticPr fontId="3" type="noConversion"/>
  </si>
  <si>
    <t>建议计费最大容积（m³）</t>
    <phoneticPr fontId="3" type="noConversion"/>
  </si>
  <si>
    <t>可放托盘数（1.2*1m）</t>
    <phoneticPr fontId="3" type="noConversion"/>
  </si>
  <si>
    <t>容积（m³）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</si>
</sst>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F9" sqref="F9"/>
    </sheetView>
  </sheetViews>
  <sheetFormatPr defaultRowHeight="13.9" x14ac:dyDescent="0.4"/>
  <cols>
    <col min="2" max="2" width="13.265625" customWidth="1"/>
    <col min="3" max="3" width="12" customWidth="1"/>
    <col min="4" max="4" width="14.265625" customWidth="1"/>
    <col min="5" max="5" width="22.59765625" customWidth="1"/>
    <col min="6" max="6" width="19.3984375" customWidth="1"/>
    <col min="7" max="7" width="21" customWidth="1"/>
    <col min="8" max="8" width="23.3984375" customWidth="1"/>
    <col min="9" max="9" width="17.265625" customWidth="1"/>
    <col min="10" max="10" width="32.06640625" customWidth="1"/>
    <col min="11" max="11" width="11.6640625" bestFit="1" customWidth="1"/>
    <col min="12" max="12" width="21.9296875" customWidth="1"/>
    <col min="13" max="13" width="13.9296875" customWidth="1"/>
  </cols>
  <sheetData>
    <row r="1" spans="1:13" x14ac:dyDescent="0.4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17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1" t="s">
        <v>1</v>
      </c>
    </row>
    <row r="2" spans="1:13" x14ac:dyDescent="0.4">
      <c r="A2" s="1">
        <v>4.2</v>
      </c>
      <c r="B2" s="1">
        <v>299456</v>
      </c>
      <c r="C2" s="1">
        <v>11506</v>
      </c>
      <c r="D2" s="1">
        <v>550</v>
      </c>
      <c r="E2" s="1">
        <v>1100</v>
      </c>
      <c r="F2" s="1" t="s">
        <v>5</v>
      </c>
      <c r="G2" s="1" t="s">
        <v>2</v>
      </c>
      <c r="H2" s="1">
        <v>0.6</v>
      </c>
      <c r="I2" s="1">
        <v>600</v>
      </c>
      <c r="J2" s="1">
        <v>5000</v>
      </c>
      <c r="K2" s="1">
        <v>1800</v>
      </c>
      <c r="L2" s="1">
        <v>7000</v>
      </c>
      <c r="M2" s="1">
        <v>9000</v>
      </c>
    </row>
    <row r="3" spans="1:13" x14ac:dyDescent="0.4">
      <c r="A3" s="1">
        <v>7.6</v>
      </c>
      <c r="B3" s="1">
        <v>440188</v>
      </c>
      <c r="C3" s="1">
        <v>16050</v>
      </c>
      <c r="D3" s="1">
        <v>650</v>
      </c>
      <c r="E3" s="1">
        <v>1100</v>
      </c>
      <c r="F3" s="1" t="s">
        <v>6</v>
      </c>
      <c r="G3" s="1" t="s">
        <v>3</v>
      </c>
      <c r="H3" s="1">
        <v>0.9</v>
      </c>
      <c r="I3" s="1">
        <v>600</v>
      </c>
      <c r="J3" s="1">
        <v>5000</v>
      </c>
      <c r="K3" s="1">
        <v>3000</v>
      </c>
      <c r="L3" s="1">
        <v>8000</v>
      </c>
      <c r="M3" s="1">
        <v>13000</v>
      </c>
    </row>
    <row r="4" spans="1:13" x14ac:dyDescent="0.4">
      <c r="A4" s="1">
        <v>9.6</v>
      </c>
      <c r="B4" s="1">
        <v>560000</v>
      </c>
      <c r="C4" s="1">
        <v>16286</v>
      </c>
      <c r="D4" s="1">
        <v>650</v>
      </c>
      <c r="E4" s="1">
        <v>1100</v>
      </c>
      <c r="F4" s="1" t="s">
        <v>7</v>
      </c>
      <c r="G4" s="1" t="s">
        <v>4</v>
      </c>
      <c r="H4" s="1">
        <v>1.1000000000000001</v>
      </c>
      <c r="I4" s="1">
        <v>600</v>
      </c>
      <c r="J4" s="1">
        <v>5000</v>
      </c>
      <c r="K4" s="1">
        <v>3000</v>
      </c>
      <c r="L4" s="1">
        <v>8000</v>
      </c>
      <c r="M4" s="1">
        <v>18000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defaultRowHeight="13.9" x14ac:dyDescent="0.4"/>
  <cols>
    <col min="1" max="1" width="24.9296875" customWidth="1"/>
    <col min="2" max="8" width="15.3984375" customWidth="1"/>
  </cols>
  <sheetData>
    <row r="1" spans="1:8" s="4" customFormat="1" ht="15" x14ac:dyDescent="0.4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3"/>
      <c r="G1" s="4" t="s">
        <v>24</v>
      </c>
    </row>
    <row r="2" spans="1:8" s="4" customFormat="1" ht="15" x14ac:dyDescent="0.4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3"/>
      <c r="G2" s="3"/>
      <c r="H2" s="3"/>
    </row>
    <row r="3" spans="1:8" s="4" customFormat="1" ht="15" x14ac:dyDescent="0.4">
      <c r="A3" s="2" t="s">
        <v>30</v>
      </c>
      <c r="B3" s="2">
        <v>1</v>
      </c>
      <c r="C3" s="2">
        <v>8</v>
      </c>
      <c r="D3" s="2">
        <v>10</v>
      </c>
      <c r="E3" s="2">
        <v>12</v>
      </c>
      <c r="F3" s="3"/>
      <c r="G3" s="3"/>
      <c r="H3" s="3"/>
    </row>
    <row r="4" spans="1:8" s="4" customFormat="1" ht="15" x14ac:dyDescent="0.4">
      <c r="A4" s="2" t="s">
        <v>31</v>
      </c>
      <c r="B4" s="2">
        <v>5</v>
      </c>
      <c r="C4" s="2">
        <v>11</v>
      </c>
      <c r="D4" s="2">
        <v>14</v>
      </c>
      <c r="E4" s="2">
        <v>18</v>
      </c>
      <c r="F4" s="3"/>
      <c r="G4" s="3"/>
      <c r="H4" s="3"/>
    </row>
    <row r="5" spans="1:8" s="4" customFormat="1" ht="15" x14ac:dyDescent="0.4">
      <c r="A5" s="2" t="s">
        <v>32</v>
      </c>
      <c r="B5" s="5">
        <f>3.95*1.6*1.93</f>
        <v>12.1976</v>
      </c>
      <c r="C5" s="2">
        <v>22</v>
      </c>
      <c r="D5" s="2">
        <v>26</v>
      </c>
      <c r="E5" s="2">
        <v>30</v>
      </c>
      <c r="F5" s="3"/>
      <c r="G5" s="3"/>
      <c r="H5" s="3"/>
    </row>
    <row r="6" spans="1:8" s="4" customFormat="1" ht="15" x14ac:dyDescent="0.4">
      <c r="A6" s="2" t="s">
        <v>33</v>
      </c>
      <c r="B6" s="2">
        <v>300</v>
      </c>
      <c r="C6" s="2">
        <v>3500</v>
      </c>
      <c r="D6" s="2">
        <v>4500</v>
      </c>
      <c r="E6" s="2">
        <v>4500</v>
      </c>
      <c r="F6" s="3"/>
      <c r="G6" s="3"/>
      <c r="H6" s="3"/>
    </row>
    <row r="7" spans="1:8" s="4" customFormat="1" ht="15" x14ac:dyDescent="0.4">
      <c r="A7" s="2" t="s">
        <v>34</v>
      </c>
      <c r="B7" s="2">
        <v>12</v>
      </c>
      <c r="C7" s="2">
        <v>96</v>
      </c>
      <c r="D7" s="2">
        <v>96</v>
      </c>
      <c r="E7" s="2">
        <v>96</v>
      </c>
      <c r="F7" s="3"/>
      <c r="G7" s="3"/>
      <c r="H7" s="3"/>
    </row>
    <row r="8" spans="1:8" s="4" customFormat="1" ht="15" x14ac:dyDescent="0.4">
      <c r="A8" s="2" t="s">
        <v>52</v>
      </c>
      <c r="B8" s="2"/>
      <c r="C8" s="2"/>
      <c r="D8" s="2"/>
      <c r="E8" s="2"/>
      <c r="F8" s="3"/>
      <c r="G8" s="3"/>
      <c r="H8" s="3"/>
    </row>
    <row r="9" spans="1:8" s="4" customFormat="1" ht="15" x14ac:dyDescent="0.4">
      <c r="A9" s="2" t="s">
        <v>53</v>
      </c>
      <c r="B9" s="2">
        <v>10</v>
      </c>
      <c r="C9" s="2">
        <v>27</v>
      </c>
      <c r="D9" s="2">
        <v>34</v>
      </c>
      <c r="E9" s="2">
        <v>45</v>
      </c>
      <c r="F9" s="3"/>
      <c r="G9" s="3"/>
      <c r="H9" s="3"/>
    </row>
    <row r="10" spans="1:8" s="4" customFormat="1" ht="15" x14ac:dyDescent="0.4">
      <c r="A10" s="3"/>
      <c r="B10" s="3"/>
      <c r="C10" s="3"/>
      <c r="D10" s="3"/>
      <c r="E10" s="3"/>
      <c r="F10" s="3"/>
      <c r="G10" s="3"/>
      <c r="H10" s="3"/>
    </row>
    <row r="11" spans="1:8" s="4" customFormat="1" ht="15" x14ac:dyDescent="0.4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43</v>
      </c>
      <c r="H11" s="2" t="s">
        <v>44</v>
      </c>
    </row>
    <row r="12" spans="1:8" s="4" customFormat="1" ht="15" x14ac:dyDescent="0.4">
      <c r="A12" s="2" t="s">
        <v>45</v>
      </c>
      <c r="B12" s="2" t="s">
        <v>46</v>
      </c>
      <c r="C12" s="2" t="s">
        <v>47</v>
      </c>
      <c r="D12" s="2">
        <f>9.55*2.4*2.4</f>
        <v>55.008000000000003</v>
      </c>
      <c r="E12" s="2" t="s">
        <v>48</v>
      </c>
      <c r="F12" s="2" t="s">
        <v>49</v>
      </c>
      <c r="G12" s="2" t="s">
        <v>50</v>
      </c>
      <c r="H12" s="2" t="s">
        <v>51</v>
      </c>
    </row>
    <row r="13" spans="1:8" s="4" customFormat="1" ht="15" x14ac:dyDescent="0.4">
      <c r="A13" s="2" t="s">
        <v>54</v>
      </c>
      <c r="B13" s="2">
        <v>6</v>
      </c>
      <c r="C13" s="2">
        <v>13</v>
      </c>
      <c r="D13" s="2">
        <v>15</v>
      </c>
      <c r="E13" s="2">
        <v>22</v>
      </c>
      <c r="F13" s="2">
        <v>24</v>
      </c>
      <c r="G13" s="2">
        <v>26</v>
      </c>
      <c r="H13" s="2">
        <v>28</v>
      </c>
    </row>
    <row r="14" spans="1:8" s="4" customFormat="1" ht="15" x14ac:dyDescent="0.4">
      <c r="A14" s="2" t="s">
        <v>55</v>
      </c>
      <c r="B14" s="2">
        <v>14.53</v>
      </c>
      <c r="C14" s="2">
        <v>36.96</v>
      </c>
      <c r="D14" s="2">
        <v>46.756799999999998</v>
      </c>
      <c r="E14" s="2">
        <v>63.75</v>
      </c>
      <c r="F14" s="2">
        <v>79.56</v>
      </c>
      <c r="G14" s="2">
        <v>84.864000000000004</v>
      </c>
      <c r="H14" s="2"/>
    </row>
    <row r="15" spans="1:8" s="4" customFormat="1" ht="15" x14ac:dyDescent="0.4">
      <c r="A15" s="2" t="s">
        <v>33</v>
      </c>
      <c r="B15" s="2">
        <v>500</v>
      </c>
      <c r="C15" s="2">
        <v>4500</v>
      </c>
      <c r="D15" s="2">
        <v>4500</v>
      </c>
      <c r="E15" s="2">
        <v>4500</v>
      </c>
      <c r="F15" s="2"/>
      <c r="G15" s="2">
        <v>4500</v>
      </c>
      <c r="H15" s="2">
        <v>4500</v>
      </c>
    </row>
    <row r="16" spans="1:8" s="4" customFormat="1" ht="15" x14ac:dyDescent="0.4">
      <c r="A16" s="2" t="s">
        <v>34</v>
      </c>
      <c r="B16" s="2">
        <v>24</v>
      </c>
      <c r="C16" s="2">
        <v>120</v>
      </c>
      <c r="D16" s="2">
        <v>120</v>
      </c>
      <c r="E16" s="2">
        <v>120</v>
      </c>
      <c r="F16" s="2"/>
      <c r="G16" s="2">
        <v>120</v>
      </c>
      <c r="H16" s="2">
        <v>120</v>
      </c>
    </row>
    <row r="17" spans="1:8" s="4" customFormat="1" ht="15" x14ac:dyDescent="0.4">
      <c r="A17" s="2" t="s">
        <v>35</v>
      </c>
      <c r="B17" s="2"/>
      <c r="C17" s="2"/>
      <c r="D17" s="2"/>
      <c r="E17" s="2"/>
      <c r="F17" s="2"/>
      <c r="G17" s="2"/>
      <c r="H17" s="2"/>
    </row>
    <row r="18" spans="1:8" s="4" customFormat="1" ht="15" x14ac:dyDescent="0.4">
      <c r="A18" s="2" t="s">
        <v>36</v>
      </c>
      <c r="B18" s="2">
        <v>13</v>
      </c>
      <c r="C18" s="2">
        <v>34</v>
      </c>
      <c r="D18" s="2">
        <v>44</v>
      </c>
      <c r="E18" s="2">
        <v>60</v>
      </c>
      <c r="F18" s="2"/>
      <c r="G18" s="2">
        <v>79</v>
      </c>
      <c r="H18" s="2">
        <v>100</v>
      </c>
    </row>
  </sheetData>
  <phoneticPr fontId="1" type="noConversion"/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车辆成本</vt:lpstr>
      <vt:lpstr>车辆托数信息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2026-04-30T13:53:28Z</dcterms:modified>
</cp:coreProperties>
</file>